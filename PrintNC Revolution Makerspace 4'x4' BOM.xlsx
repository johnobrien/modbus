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SynologyDrive\Documents\Revolution Makerspace LLC\PrintNC\"/>
    </mc:Choice>
  </mc:AlternateContent>
  <xr:revisionPtr revIDLastSave="0" documentId="13_ncr:1_{22700614-DADA-4DDF-AFA9-6621E47634B8}" xr6:coauthVersionLast="47" xr6:coauthVersionMax="47" xr10:uidLastSave="{00000000-0000-0000-0000-000000000000}"/>
  <bookViews>
    <workbookView xWindow="-98" yWindow="-98" windowWidth="28996" windowHeight="15675" xr2:uid="{468F76B4-A498-4D8E-8848-BDC9753CB1F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" l="1"/>
  <c r="I46" i="1"/>
  <c r="I45" i="1"/>
  <c r="L45" i="1"/>
  <c r="L44" i="1"/>
  <c r="L43" i="1"/>
  <c r="I44" i="1"/>
  <c r="I43" i="1"/>
  <c r="L36" i="1"/>
  <c r="L37" i="1"/>
  <c r="I35" i="1"/>
  <c r="L35" i="1"/>
  <c r="I34" i="1"/>
  <c r="L34" i="1"/>
  <c r="L33" i="1"/>
  <c r="I30" i="1"/>
  <c r="L30" i="1"/>
  <c r="I33" i="1"/>
  <c r="I40" i="1"/>
  <c r="L40" i="1" s="1"/>
  <c r="I38" i="1"/>
  <c r="L38" i="1" s="1"/>
  <c r="I41" i="1"/>
  <c r="L41" i="1" s="1"/>
  <c r="I39" i="1"/>
  <c r="L39" i="1" s="1"/>
  <c r="I32" i="1"/>
  <c r="L32" i="1" s="1"/>
  <c r="I23" i="1"/>
  <c r="L23" i="1" s="1"/>
  <c r="I24" i="1"/>
  <c r="L24" i="1" s="1"/>
  <c r="I25" i="1"/>
  <c r="L25" i="1" s="1"/>
  <c r="I26" i="1"/>
  <c r="L26" i="1" s="1"/>
  <c r="I27" i="1"/>
  <c r="L27" i="1" s="1"/>
  <c r="I28" i="1"/>
  <c r="L28" i="1" s="1"/>
  <c r="I29" i="1"/>
  <c r="L29" i="1" s="1"/>
  <c r="I22" i="1"/>
  <c r="L22" i="1" s="1"/>
  <c r="L1" i="1" l="1"/>
</calcChain>
</file>

<file path=xl/sharedStrings.xml><?xml version="1.0" encoding="utf-8"?>
<sst xmlns="http://schemas.openxmlformats.org/spreadsheetml/2006/main" count="120" uniqueCount="94">
  <si>
    <t>Position</t>
  </si>
  <si>
    <t>Name</t>
  </si>
  <si>
    <t>Description</t>
  </si>
  <si>
    <t>Quantity</t>
  </si>
  <si>
    <t>Length (mm)</t>
  </si>
  <si>
    <t>Dimensions (mm)</t>
  </si>
  <si>
    <t>M4x12</t>
  </si>
  <si>
    <t>M4x16</t>
  </si>
  <si>
    <t>M5x20</t>
  </si>
  <si>
    <t>M6x12</t>
  </si>
  <si>
    <t>M6x20</t>
  </si>
  <si>
    <t>M6x30</t>
  </si>
  <si>
    <t>M6x50</t>
  </si>
  <si>
    <t>X M6 Threaded Rod</t>
  </si>
  <si>
    <t>Y M6 Threaded Rod</t>
  </si>
  <si>
    <t>M6 Nut</t>
  </si>
  <si>
    <t>XFrame Tubing</t>
  </si>
  <si>
    <t>1550 x 101.6 x 50.8</t>
  </si>
  <si>
    <t>YFrame Tubing</t>
  </si>
  <si>
    <t>50.8 x 1500 x 101.6</t>
  </si>
  <si>
    <t>YRoller Tubing</t>
  </si>
  <si>
    <t>101.6 x 100 x 50.8</t>
  </si>
  <si>
    <t>YRoller Brace</t>
  </si>
  <si>
    <t>101.6 x 50 x 75</t>
  </si>
  <si>
    <t>XGantry Tubing</t>
  </si>
  <si>
    <t>1600.8 x 50.8 x 100</t>
  </si>
  <si>
    <t>XRoller Tubing</t>
  </si>
  <si>
    <t>100 x 101.6 x 50.8</t>
  </si>
  <si>
    <t>XRoller Angle</t>
  </si>
  <si>
    <t>100 x 125 x 50</t>
  </si>
  <si>
    <t>X HGR20 Rail</t>
  </si>
  <si>
    <t>Y HGR20 Rail</t>
  </si>
  <si>
    <t>Y2 HGR20 Rail</t>
  </si>
  <si>
    <t>Y 2010 Ballscrew</t>
  </si>
  <si>
    <t>X 2010 Ballscrew</t>
  </si>
  <si>
    <t>Y2 2010 Ballscrew</t>
  </si>
  <si>
    <t>Z 1204 Ballscrew</t>
  </si>
  <si>
    <t>Grand Total</t>
  </si>
  <si>
    <t>Price per Unit</t>
  </si>
  <si>
    <t>Price * Quantity</t>
  </si>
  <si>
    <t>Shipping</t>
  </si>
  <si>
    <t>Tax/Tariffs</t>
  </si>
  <si>
    <t>Total</t>
  </si>
  <si>
    <t>Link</t>
  </si>
  <si>
    <t>Comments</t>
  </si>
  <si>
    <t>Double check that impact wrench is 1/2 inch drive</t>
  </si>
  <si>
    <t>NEMA 23 Stepper motors</t>
  </si>
  <si>
    <t>Cable Chain</t>
  </si>
  <si>
    <t>Monitor</t>
  </si>
  <si>
    <t>Monitor Arm</t>
  </si>
  <si>
    <t>Gecko G540 Controller with 48V 12.5A Power Supply, Cooling Fan</t>
  </si>
  <si>
    <t>2.2KW ER20 D80 220V Water cooled spindle motor, QL inverter, 80mm bracket, 75...</t>
  </si>
  <si>
    <t>Installation of additional 220v circuit</t>
  </si>
  <si>
    <t>Spoilboard</t>
  </si>
  <si>
    <t>Flexible shaft coupling</t>
  </si>
  <si>
    <t>Additional costs</t>
  </si>
  <si>
    <t>PLA and PETG for 3d prints</t>
  </si>
  <si>
    <t>Aluminium for CNC parts to be milled</t>
  </si>
  <si>
    <t>Tooling</t>
  </si>
  <si>
    <t>If I didn't have tooling/access to machines, those would be SIGNIFICANT costs. As is, there are still a couple of things I'll need to buy</t>
  </si>
  <si>
    <t>Versadrive M5 Impact Wrench Tap - M5 x  0.8MM (308010-0050)</t>
  </si>
  <si>
    <t>Versadrive M6 Impact Wrench Tap - M6 x 1.00MM (308010-0060)</t>
  </si>
  <si>
    <t>Versadrive Impact Wrench Adapter</t>
  </si>
  <si>
    <t>https://limobearing.com/hgh20ca-hgw20ca-linear-guide-bearing</t>
  </si>
  <si>
    <t>https://limobearing.com/hgh15ca-hgw15cc-precision-linear-bearing</t>
  </si>
  <si>
    <t>https://limobearing.com/sfu1204-1604-cnc-ball-screw-parts</t>
  </si>
  <si>
    <t>https://limobearing.com/sfu1610-2010-ball-screw-cnc</t>
  </si>
  <si>
    <t>For items over $200, 5% off with discount code: 5OFF; for items over $500, 10% off with discount code: 10OFF</t>
  </si>
  <si>
    <t>https://limobearing.com/flexible-shaft-coupling</t>
  </si>
  <si>
    <t>https://www.automationtechnologiesinc.com/products-page/cnc-controller-box/g540-125</t>
  </si>
  <si>
    <t>Need to pay an electrician</t>
  </si>
  <si>
    <t>M5x12</t>
  </si>
  <si>
    <t>M8x8 Grub</t>
  </si>
  <si>
    <t>Length (inches)</t>
  </si>
  <si>
    <t>2Z HGR15 Rail</t>
  </si>
  <si>
    <t>Yinleader 5000 Step Up/Down Transformer Converter 110/120 Volt - 220/240 Volt w/US Power Cord,Circuit Breaker Protection (Grey)</t>
  </si>
  <si>
    <t>https://www.amazon.com/dp/B0D1XHVXZG?ref=ppx_yo2ov_dt_b_fed_asin_title&amp;th=1</t>
  </si>
  <si>
    <t>https://www.omc-stepperonline.com/nema-23-bipolar-3nm-425oz-in-8mm-diameter-4-2a-57x57x113mm-4-wires-stepper-motor-23hs45-4204s1</t>
  </si>
  <si>
    <t>Status</t>
  </si>
  <si>
    <t>Ordered</t>
  </si>
  <si>
    <t>Arrived</t>
  </si>
  <si>
    <t xml:space="preserve">LJ8A3-2-Z/AX-5V NPN NC </t>
  </si>
  <si>
    <t>https://www.metalsupermarkets.com/</t>
  </si>
  <si>
    <t>C10 BOB</t>
  </si>
  <si>
    <t>Use as a breakout board to wire the limit switches and then run a long DB25 cable to the control box</t>
  </si>
  <si>
    <t>Limobearings recommended D25L30. I needs to be 8mm to mate with 1204 ballscrew</t>
  </si>
  <si>
    <t>Limobearings recommended D25L30. I asked for innerholes that are 12mm to mate with 2010 ballscrews</t>
  </si>
  <si>
    <t>https://www.cnc4pc.com/shop/c10-c10-bi-directional-parallel-port-cnc-breakout-board-33</t>
  </si>
  <si>
    <t xml:space="preserve">UC300ETH </t>
  </si>
  <si>
    <t>https://www.cnc4pc.com/shop/uc300eth-uc300eth-ethernet-motion-controller-938?srsltid=AfmBOornw4Wo6teITa9QnfU_kh1f1sfFB2Tm558cC4wAWm4MdIhanGQ_</t>
  </si>
  <si>
    <t>5LPT-UC300 Motherboard</t>
  </si>
  <si>
    <t>UCCNC software</t>
  </si>
  <si>
    <t>https://computers.woot.com/offers/dell-optiplex-3060-micro-pc?utm_medium=email&amp;utm_source=Transactional%20Email&amp;utm_campaign=&amp;utm_content=view_package_offer</t>
  </si>
  <si>
    <t>Dell Optiplex 3060 Micro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</si>
</sst>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44" fontId="0" fillId="0" borderId="0" xfId="2" applyFont="1"/>
    <xf numFmtId="164" fontId="0" fillId="0" borderId="0" xfId="1" applyNumberFormat="1" applyFont="1"/>
    <xf numFmtId="43" fontId="0" fillId="0" borderId="0" xfId="0" applyNumberFormat="1"/>
    <xf numFmtId="0" fontId="18" fillId="0" borderId="0" xfId="0" applyFont="1" applyAlignment="1">
      <alignment vertical="center"/>
    </xf>
    <xf numFmtId="0" fontId="18" fillId="0" borderId="0" xfId="0" applyFont="1"/>
    <xf numFmtId="0" fontId="0" fillId="33" borderId="0" xfId="0" applyFill="1"/>
    <xf numFmtId="43" fontId="0" fillId="33" borderId="0" xfId="0" applyNumberFormat="1" applyFill="1"/>
    <xf numFmtId="43" fontId="0" fillId="0" borderId="0" xfId="1" applyNumberFormat="1" applyFont="1"/>
    <xf numFmtId="43" fontId="0" fillId="33" borderId="0" xfId="1" applyNumberFormat="1" applyFont="1" applyFill="1"/>
    <xf numFmtId="43" fontId="18" fillId="0" borderId="0" xfId="1" applyNumberFormat="1" applyFont="1" applyAlignment="1">
      <alignment horizontal="right" wrapText="1"/>
    </xf>
    <xf numFmtId="43" fontId="0" fillId="0" borderId="0" xfId="0" applyNumberFormat="1"/>
    <xf numFmtId="43" fontId="0" fillId="0" borderId="0" xfId="1" applyNumberFormat="1" applyFont="1" applyAlignment="1"/>
    <xf numFmtId="43" fontId="0" fillId="0" borderId="0" xfId="0" applyNumberFormat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6A15-2E4F-4364-A539-A882D29B2D37}">
  <dimension ref="A1:O5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" sqref="H3:L46"/>
    </sheetView>
  </sheetViews>
  <sheetFormatPr defaultRowHeight="14.25" x14ac:dyDescent="0.45"/>
  <cols>
    <col min="2" max="2" width="41.53125" customWidth="1"/>
    <col min="5" max="5" width="10.53125" bestFit="1" customWidth="1"/>
    <col min="6" max="6" width="10.53125" customWidth="1"/>
    <col min="7" max="7" width="15.796875" bestFit="1" customWidth="1"/>
    <col min="8" max="8" width="11.1328125" bestFit="1" customWidth="1"/>
    <col min="9" max="9" width="13" bestFit="1" customWidth="1"/>
    <col min="11" max="11" width="9.796875" bestFit="1" customWidth="1"/>
    <col min="12" max="12" width="10" bestFit="1" customWidth="1"/>
    <col min="13" max="13" width="38.06640625" customWidth="1"/>
  </cols>
  <sheetData>
    <row r="1" spans="1:15" x14ac:dyDescent="0.45">
      <c r="H1" s="3"/>
      <c r="I1" s="3"/>
      <c r="K1" t="s">
        <v>37</v>
      </c>
      <c r="L1" s="1">
        <f xml:space="preserve"> SUM(L3:L45)</f>
        <v>3604.4400000000005</v>
      </c>
    </row>
    <row r="2" spans="1:15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73</v>
      </c>
      <c r="G2" t="s">
        <v>5</v>
      </c>
      <c r="H2" s="3" t="s">
        <v>38</v>
      </c>
      <c r="I2" s="3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78</v>
      </c>
      <c r="O2" t="s">
        <v>44</v>
      </c>
    </row>
    <row r="3" spans="1:15" x14ac:dyDescent="0.45">
      <c r="A3">
        <v>1</v>
      </c>
      <c r="B3" t="s">
        <v>6</v>
      </c>
      <c r="D3">
        <v>22</v>
      </c>
      <c r="H3" s="3"/>
      <c r="I3" s="8"/>
      <c r="J3" s="3"/>
      <c r="K3" s="3"/>
      <c r="L3" s="8"/>
    </row>
    <row r="4" spans="1:15" x14ac:dyDescent="0.45">
      <c r="A4">
        <v>2</v>
      </c>
      <c r="B4" t="s">
        <v>7</v>
      </c>
      <c r="D4">
        <v>24</v>
      </c>
      <c r="H4" s="3"/>
      <c r="I4" s="8"/>
      <c r="J4" s="3"/>
      <c r="K4" s="3"/>
      <c r="L4" s="8"/>
    </row>
    <row r="5" spans="1:15" x14ac:dyDescent="0.45">
      <c r="A5">
        <v>3</v>
      </c>
      <c r="B5" t="s">
        <v>71</v>
      </c>
      <c r="D5">
        <v>4</v>
      </c>
      <c r="H5" s="3"/>
      <c r="I5" s="8"/>
      <c r="J5" s="3"/>
      <c r="K5" s="3"/>
      <c r="L5" s="8"/>
    </row>
    <row r="6" spans="1:15" x14ac:dyDescent="0.45">
      <c r="A6">
        <v>4</v>
      </c>
      <c r="B6" t="s">
        <v>8</v>
      </c>
      <c r="D6">
        <v>85</v>
      </c>
      <c r="H6" s="3"/>
      <c r="I6" s="8"/>
      <c r="J6" s="3"/>
      <c r="K6" s="3"/>
      <c r="L6" s="8"/>
    </row>
    <row r="7" spans="1:15" x14ac:dyDescent="0.45">
      <c r="A7">
        <v>5</v>
      </c>
      <c r="B7" t="s">
        <v>9</v>
      </c>
      <c r="D7">
        <v>139</v>
      </c>
      <c r="H7" s="3"/>
      <c r="I7" s="8"/>
      <c r="J7" s="3"/>
      <c r="K7" s="3"/>
      <c r="L7" s="8"/>
    </row>
    <row r="8" spans="1:15" x14ac:dyDescent="0.45">
      <c r="A8">
        <v>6</v>
      </c>
      <c r="B8" t="s">
        <v>10</v>
      </c>
      <c r="D8">
        <v>80</v>
      </c>
      <c r="H8" s="3"/>
      <c r="I8" s="8"/>
      <c r="J8" s="3"/>
      <c r="K8" s="3"/>
      <c r="L8" s="8"/>
    </row>
    <row r="9" spans="1:15" x14ac:dyDescent="0.45">
      <c r="A9">
        <v>7</v>
      </c>
      <c r="B9" t="s">
        <v>11</v>
      </c>
      <c r="D9">
        <v>27</v>
      </c>
      <c r="H9" s="3"/>
      <c r="I9" s="8"/>
      <c r="J9" s="3"/>
      <c r="K9" s="3"/>
      <c r="L9" s="8"/>
    </row>
    <row r="10" spans="1:15" x14ac:dyDescent="0.45">
      <c r="A10">
        <v>8</v>
      </c>
      <c r="B10" t="s">
        <v>12</v>
      </c>
      <c r="D10">
        <v>22</v>
      </c>
      <c r="H10" s="3"/>
      <c r="I10" s="8"/>
      <c r="J10" s="3"/>
      <c r="K10" s="3"/>
      <c r="L10" s="8"/>
    </row>
    <row r="11" spans="1:15" x14ac:dyDescent="0.45">
      <c r="A11">
        <v>9</v>
      </c>
      <c r="B11" t="s">
        <v>72</v>
      </c>
      <c r="D11">
        <v>4</v>
      </c>
      <c r="H11" s="3"/>
      <c r="I11" s="8"/>
      <c r="J11" s="3"/>
      <c r="K11" s="3"/>
      <c r="L11" s="8"/>
    </row>
    <row r="12" spans="1:15" x14ac:dyDescent="0.45">
      <c r="A12">
        <v>8</v>
      </c>
      <c r="B12" t="s">
        <v>13</v>
      </c>
      <c r="D12">
        <v>6</v>
      </c>
      <c r="E12">
        <v>185</v>
      </c>
      <c r="H12" s="3"/>
      <c r="I12" s="8"/>
      <c r="J12" s="3"/>
      <c r="K12" s="3"/>
      <c r="L12" s="8"/>
    </row>
    <row r="13" spans="1:15" x14ac:dyDescent="0.45">
      <c r="A13">
        <v>9</v>
      </c>
      <c r="B13" t="s">
        <v>14</v>
      </c>
      <c r="D13">
        <v>12</v>
      </c>
      <c r="E13">
        <v>185</v>
      </c>
      <c r="H13" s="3"/>
      <c r="I13" s="8"/>
      <c r="J13" s="3"/>
      <c r="K13" s="3"/>
      <c r="L13" s="8"/>
    </row>
    <row r="14" spans="1:15" x14ac:dyDescent="0.45">
      <c r="A14">
        <v>10</v>
      </c>
      <c r="B14" t="s">
        <v>15</v>
      </c>
      <c r="D14">
        <v>54</v>
      </c>
      <c r="H14" s="3"/>
      <c r="I14" s="8"/>
      <c r="J14" s="3"/>
      <c r="K14" s="3"/>
      <c r="L14" s="8"/>
    </row>
    <row r="15" spans="1:15" x14ac:dyDescent="0.45">
      <c r="A15">
        <v>11</v>
      </c>
      <c r="B15" t="s">
        <v>16</v>
      </c>
      <c r="D15">
        <v>4</v>
      </c>
      <c r="E15">
        <v>1575</v>
      </c>
      <c r="G15" t="s">
        <v>17</v>
      </c>
      <c r="H15" s="3"/>
      <c r="I15" s="8"/>
      <c r="J15" s="3"/>
      <c r="K15" s="3"/>
      <c r="L15" s="11">
        <v>394.94</v>
      </c>
    </row>
    <row r="16" spans="1:15" x14ac:dyDescent="0.45">
      <c r="A16">
        <v>12</v>
      </c>
      <c r="B16" t="s">
        <v>18</v>
      </c>
      <c r="D16">
        <v>2</v>
      </c>
      <c r="E16">
        <v>1550</v>
      </c>
      <c r="G16" t="s">
        <v>19</v>
      </c>
      <c r="H16" s="3"/>
      <c r="I16" s="8"/>
      <c r="J16" s="3"/>
      <c r="K16" s="3"/>
      <c r="L16" s="11"/>
    </row>
    <row r="17" spans="1:15" x14ac:dyDescent="0.45">
      <c r="A17">
        <v>13</v>
      </c>
      <c r="B17" t="s">
        <v>20</v>
      </c>
      <c r="D17">
        <v>2</v>
      </c>
      <c r="E17">
        <v>150</v>
      </c>
      <c r="G17" t="s">
        <v>21</v>
      </c>
      <c r="H17" s="3"/>
      <c r="I17" s="8"/>
      <c r="J17" s="3"/>
      <c r="K17" s="3"/>
      <c r="L17" s="11"/>
    </row>
    <row r="18" spans="1:15" x14ac:dyDescent="0.45">
      <c r="A18">
        <v>14</v>
      </c>
      <c r="B18" t="s">
        <v>22</v>
      </c>
      <c r="D18">
        <v>2</v>
      </c>
      <c r="G18" t="s">
        <v>23</v>
      </c>
      <c r="H18" s="3"/>
      <c r="I18" s="8"/>
      <c r="J18" s="3"/>
      <c r="K18" s="3"/>
      <c r="L18" s="11"/>
    </row>
    <row r="19" spans="1:15" x14ac:dyDescent="0.45">
      <c r="A19">
        <v>15</v>
      </c>
      <c r="B19" t="s">
        <v>24</v>
      </c>
      <c r="D19">
        <v>1</v>
      </c>
      <c r="E19">
        <v>1625.8</v>
      </c>
      <c r="G19" t="s">
        <v>25</v>
      </c>
      <c r="H19" s="3"/>
      <c r="I19" s="8"/>
      <c r="J19" s="3"/>
      <c r="K19" s="3"/>
      <c r="L19" s="11"/>
    </row>
    <row r="20" spans="1:15" x14ac:dyDescent="0.45">
      <c r="A20">
        <v>16</v>
      </c>
      <c r="B20" t="s">
        <v>26</v>
      </c>
      <c r="D20">
        <v>1</v>
      </c>
      <c r="E20">
        <v>150</v>
      </c>
      <c r="G20" t="s">
        <v>27</v>
      </c>
      <c r="H20" s="3"/>
      <c r="I20" s="8"/>
      <c r="J20" s="3"/>
      <c r="K20" s="3"/>
      <c r="L20" s="11"/>
      <c r="M20" t="s">
        <v>82</v>
      </c>
    </row>
    <row r="21" spans="1:15" x14ac:dyDescent="0.45">
      <c r="A21">
        <v>17</v>
      </c>
      <c r="B21" t="s">
        <v>28</v>
      </c>
      <c r="D21">
        <v>1</v>
      </c>
      <c r="E21">
        <v>150</v>
      </c>
      <c r="G21" t="s">
        <v>29</v>
      </c>
      <c r="H21" s="3"/>
      <c r="I21" s="8"/>
      <c r="J21" s="3"/>
      <c r="K21" s="3"/>
      <c r="L21" s="12"/>
    </row>
    <row r="22" spans="1:15" s="6" customFormat="1" x14ac:dyDescent="0.45">
      <c r="A22" s="6">
        <v>18</v>
      </c>
      <c r="B22" s="6" t="s">
        <v>30</v>
      </c>
      <c r="D22" s="6">
        <v>2</v>
      </c>
      <c r="E22" s="6">
        <v>1400</v>
      </c>
      <c r="H22" s="9">
        <v>36.46</v>
      </c>
      <c r="I22" s="7">
        <f xml:space="preserve"> D22 * H22</f>
        <v>72.92</v>
      </c>
      <c r="J22" s="13">
        <v>179</v>
      </c>
      <c r="K22" s="7"/>
      <c r="L22" s="7">
        <f xml:space="preserve"> SUM(I22:K22)</f>
        <v>251.92000000000002</v>
      </c>
      <c r="M22" s="6" t="s">
        <v>63</v>
      </c>
      <c r="N22" s="6" t="s">
        <v>79</v>
      </c>
      <c r="O22" s="6" t="s">
        <v>67</v>
      </c>
    </row>
    <row r="23" spans="1:15" x14ac:dyDescent="0.45">
      <c r="A23">
        <v>19</v>
      </c>
      <c r="B23" t="s">
        <v>31</v>
      </c>
      <c r="D23">
        <v>1</v>
      </c>
      <c r="E23">
        <v>1400</v>
      </c>
      <c r="H23" s="8">
        <v>36.46</v>
      </c>
      <c r="I23" s="3">
        <f t="shared" ref="I23:I30" si="0" xml:space="preserve"> D23 * H23</f>
        <v>36.46</v>
      </c>
      <c r="J23" s="13"/>
      <c r="K23" s="3"/>
      <c r="L23" s="3">
        <f t="shared" ref="L23:L30" si="1" xml:space="preserve"> SUM(I23:K23)</f>
        <v>36.46</v>
      </c>
      <c r="M23" t="s">
        <v>63</v>
      </c>
      <c r="N23" s="6" t="s">
        <v>79</v>
      </c>
    </row>
    <row r="24" spans="1:15" x14ac:dyDescent="0.45">
      <c r="A24">
        <v>20</v>
      </c>
      <c r="B24" t="s">
        <v>32</v>
      </c>
      <c r="D24">
        <v>1</v>
      </c>
      <c r="E24">
        <v>1400</v>
      </c>
      <c r="H24" s="8">
        <v>36.46</v>
      </c>
      <c r="I24" s="3">
        <f t="shared" si="0"/>
        <v>36.46</v>
      </c>
      <c r="J24" s="13"/>
      <c r="K24" s="3"/>
      <c r="L24" s="3">
        <f t="shared" si="1"/>
        <v>36.46</v>
      </c>
      <c r="M24" t="s">
        <v>63</v>
      </c>
      <c r="N24" s="6" t="s">
        <v>79</v>
      </c>
    </row>
    <row r="25" spans="1:15" x14ac:dyDescent="0.45">
      <c r="A25">
        <v>21</v>
      </c>
      <c r="B25" t="s">
        <v>74</v>
      </c>
      <c r="D25">
        <v>2</v>
      </c>
      <c r="E25">
        <v>300</v>
      </c>
      <c r="H25" s="8">
        <v>13.38</v>
      </c>
      <c r="I25" s="3">
        <f t="shared" si="0"/>
        <v>26.76</v>
      </c>
      <c r="J25" s="13"/>
      <c r="K25" s="3"/>
      <c r="L25" s="3">
        <f t="shared" si="1"/>
        <v>26.76</v>
      </c>
      <c r="M25" t="s">
        <v>64</v>
      </c>
      <c r="N25" s="6" t="s">
        <v>79</v>
      </c>
    </row>
    <row r="26" spans="1:15" x14ac:dyDescent="0.45">
      <c r="A26">
        <v>22</v>
      </c>
      <c r="B26" t="s">
        <v>33</v>
      </c>
      <c r="D26">
        <v>1</v>
      </c>
      <c r="E26">
        <v>1500</v>
      </c>
      <c r="H26" s="8">
        <v>68.37</v>
      </c>
      <c r="I26" s="3">
        <f t="shared" si="0"/>
        <v>68.37</v>
      </c>
      <c r="J26" s="13"/>
      <c r="K26" s="3"/>
      <c r="L26" s="3">
        <f t="shared" si="1"/>
        <v>68.37</v>
      </c>
      <c r="M26" t="s">
        <v>66</v>
      </c>
      <c r="N26" s="6" t="s">
        <v>79</v>
      </c>
    </row>
    <row r="27" spans="1:15" x14ac:dyDescent="0.45">
      <c r="A27">
        <v>23</v>
      </c>
      <c r="B27" t="s">
        <v>34</v>
      </c>
      <c r="D27">
        <v>1</v>
      </c>
      <c r="E27">
        <v>1500</v>
      </c>
      <c r="H27" s="8">
        <v>68.37</v>
      </c>
      <c r="I27" s="3">
        <f t="shared" si="0"/>
        <v>68.37</v>
      </c>
      <c r="J27" s="13"/>
      <c r="K27" s="3"/>
      <c r="L27" s="3">
        <f t="shared" si="1"/>
        <v>68.37</v>
      </c>
      <c r="M27" t="s">
        <v>66</v>
      </c>
      <c r="N27" s="6" t="s">
        <v>79</v>
      </c>
    </row>
    <row r="28" spans="1:15" x14ac:dyDescent="0.45">
      <c r="A28">
        <v>24</v>
      </c>
      <c r="B28" t="s">
        <v>35</v>
      </c>
      <c r="D28">
        <v>1</v>
      </c>
      <c r="E28">
        <v>1500</v>
      </c>
      <c r="H28" s="8">
        <v>68.37</v>
      </c>
      <c r="I28" s="3">
        <f t="shared" si="0"/>
        <v>68.37</v>
      </c>
      <c r="J28" s="13"/>
      <c r="K28" s="3"/>
      <c r="L28" s="3">
        <f t="shared" si="1"/>
        <v>68.37</v>
      </c>
      <c r="M28" t="s">
        <v>66</v>
      </c>
      <c r="N28" s="6" t="s">
        <v>79</v>
      </c>
    </row>
    <row r="29" spans="1:15" x14ac:dyDescent="0.45">
      <c r="A29">
        <v>25</v>
      </c>
      <c r="B29" t="s">
        <v>36</v>
      </c>
      <c r="D29">
        <v>1</v>
      </c>
      <c r="E29">
        <v>300</v>
      </c>
      <c r="H29" s="8">
        <v>28.62</v>
      </c>
      <c r="I29" s="3">
        <f t="shared" si="0"/>
        <v>28.62</v>
      </c>
      <c r="J29" s="13"/>
      <c r="K29" s="3"/>
      <c r="L29" s="3">
        <f t="shared" si="1"/>
        <v>28.62</v>
      </c>
      <c r="M29" t="s">
        <v>65</v>
      </c>
      <c r="N29" s="6" t="s">
        <v>79</v>
      </c>
    </row>
    <row r="30" spans="1:15" x14ac:dyDescent="0.45">
      <c r="A30">
        <v>26</v>
      </c>
      <c r="B30" t="s">
        <v>46</v>
      </c>
      <c r="D30">
        <v>4</v>
      </c>
      <c r="H30" s="8">
        <v>35.340000000000003</v>
      </c>
      <c r="I30" s="8">
        <f t="shared" si="0"/>
        <v>141.36000000000001</v>
      </c>
      <c r="J30" s="3">
        <v>19.95</v>
      </c>
      <c r="K30" s="3"/>
      <c r="L30" s="8">
        <f t="shared" si="1"/>
        <v>161.31</v>
      </c>
      <c r="M30" t="s">
        <v>77</v>
      </c>
      <c r="N30" s="6" t="s">
        <v>79</v>
      </c>
    </row>
    <row r="31" spans="1:15" x14ac:dyDescent="0.45">
      <c r="A31">
        <v>27</v>
      </c>
      <c r="B31" t="s">
        <v>47</v>
      </c>
      <c r="D31">
        <v>3</v>
      </c>
      <c r="H31" s="3"/>
      <c r="I31" s="8"/>
      <c r="J31" s="3"/>
      <c r="K31" s="3"/>
      <c r="L31" s="8"/>
    </row>
    <row r="32" spans="1:15" x14ac:dyDescent="0.45">
      <c r="A32">
        <v>28</v>
      </c>
      <c r="B32" s="5" t="s">
        <v>88</v>
      </c>
      <c r="D32">
        <v>1</v>
      </c>
      <c r="H32" s="8">
        <v>187</v>
      </c>
      <c r="I32" s="3">
        <f t="shared" ref="I32:I35" si="2" xml:space="preserve"> D32 * H32</f>
        <v>187</v>
      </c>
      <c r="J32" s="3">
        <v>14.25</v>
      </c>
      <c r="K32" s="3"/>
      <c r="L32" s="3">
        <f t="shared" ref="L32:L37" si="3" xml:space="preserve"> SUM(I32:K32)</f>
        <v>201.25</v>
      </c>
      <c r="M32" s="3" t="s">
        <v>89</v>
      </c>
      <c r="N32" s="6" t="s">
        <v>80</v>
      </c>
    </row>
    <row r="33" spans="1:15" x14ac:dyDescent="0.45">
      <c r="A33">
        <v>29</v>
      </c>
      <c r="B33" s="5" t="s">
        <v>90</v>
      </c>
      <c r="D33">
        <v>1</v>
      </c>
      <c r="H33" s="3">
        <v>43.85</v>
      </c>
      <c r="I33" s="3">
        <f t="shared" si="2"/>
        <v>43.85</v>
      </c>
      <c r="J33" s="3"/>
      <c r="K33" s="3"/>
      <c r="L33" s="3">
        <f t="shared" si="3"/>
        <v>43.85</v>
      </c>
      <c r="M33" s="3" t="s">
        <v>89</v>
      </c>
      <c r="N33" s="6"/>
    </row>
    <row r="34" spans="1:15" x14ac:dyDescent="0.45">
      <c r="A34">
        <v>30</v>
      </c>
      <c r="B34" s="5" t="s">
        <v>91</v>
      </c>
      <c r="D34">
        <v>1</v>
      </c>
      <c r="H34" s="3">
        <v>63</v>
      </c>
      <c r="I34" s="3">
        <f t="shared" si="2"/>
        <v>63</v>
      </c>
      <c r="J34" s="3"/>
      <c r="K34" s="3"/>
      <c r="L34" s="8">
        <f t="shared" si="3"/>
        <v>63</v>
      </c>
      <c r="M34" s="3" t="s">
        <v>89</v>
      </c>
      <c r="N34" s="6"/>
    </row>
    <row r="35" spans="1:15" x14ac:dyDescent="0.45">
      <c r="A35">
        <v>29</v>
      </c>
      <c r="B35" s="5" t="s">
        <v>93</v>
      </c>
      <c r="D35">
        <v>1</v>
      </c>
      <c r="H35" s="10">
        <v>309</v>
      </c>
      <c r="I35" s="8">
        <f t="shared" si="2"/>
        <v>309</v>
      </c>
      <c r="J35" s="8"/>
      <c r="K35" s="8"/>
      <c r="L35" s="8">
        <f t="shared" si="3"/>
        <v>309</v>
      </c>
      <c r="M35" t="s">
        <v>92</v>
      </c>
      <c r="N35" s="6" t="s">
        <v>80</v>
      </c>
    </row>
    <row r="36" spans="1:15" x14ac:dyDescent="0.45">
      <c r="A36">
        <v>30</v>
      </c>
      <c r="B36" s="5" t="s">
        <v>48</v>
      </c>
      <c r="D36">
        <v>1</v>
      </c>
      <c r="H36" s="10"/>
      <c r="I36" s="8">
        <v>99</v>
      </c>
      <c r="J36" s="8"/>
      <c r="K36" s="8"/>
      <c r="L36" s="8">
        <f t="shared" si="3"/>
        <v>99</v>
      </c>
      <c r="N36" s="6" t="s">
        <v>80</v>
      </c>
    </row>
    <row r="37" spans="1:15" x14ac:dyDescent="0.45">
      <c r="A37">
        <v>31</v>
      </c>
      <c r="B37" s="5" t="s">
        <v>49</v>
      </c>
      <c r="D37">
        <v>1</v>
      </c>
      <c r="H37" s="10"/>
      <c r="I37" s="8">
        <v>50</v>
      </c>
      <c r="J37" s="8"/>
      <c r="K37" s="8"/>
      <c r="L37" s="8">
        <f t="shared" si="3"/>
        <v>50</v>
      </c>
      <c r="N37" s="6" t="s">
        <v>80</v>
      </c>
    </row>
    <row r="38" spans="1:15" x14ac:dyDescent="0.45">
      <c r="A38">
        <v>32</v>
      </c>
      <c r="B38" s="5" t="s">
        <v>50</v>
      </c>
      <c r="D38">
        <v>1</v>
      </c>
      <c r="H38" s="10">
        <v>790</v>
      </c>
      <c r="I38" s="3">
        <f t="shared" ref="I38" si="4" xml:space="preserve"> D38 * H38</f>
        <v>790</v>
      </c>
      <c r="J38" s="8"/>
      <c r="K38" s="8"/>
      <c r="L38" s="3">
        <f t="shared" ref="L38:L46" si="5" xml:space="preserve"> SUM(I38:K38)</f>
        <v>790</v>
      </c>
      <c r="M38" t="s">
        <v>69</v>
      </c>
      <c r="N38" s="6" t="s">
        <v>80</v>
      </c>
    </row>
    <row r="39" spans="1:15" x14ac:dyDescent="0.45">
      <c r="A39">
        <v>33</v>
      </c>
      <c r="B39" s="4" t="s">
        <v>51</v>
      </c>
      <c r="D39">
        <v>1</v>
      </c>
      <c r="H39" s="10">
        <v>536.24</v>
      </c>
      <c r="I39" s="3">
        <f t="shared" ref="I39:I46" si="6" xml:space="preserve"> D39 * H39</f>
        <v>536.24</v>
      </c>
      <c r="J39" s="8"/>
      <c r="K39" s="8">
        <v>33.520000000000003</v>
      </c>
      <c r="L39" s="3">
        <f t="shared" si="5"/>
        <v>569.76</v>
      </c>
      <c r="N39" s="6" t="s">
        <v>80</v>
      </c>
    </row>
    <row r="40" spans="1:15" x14ac:dyDescent="0.45">
      <c r="A40">
        <v>34</v>
      </c>
      <c r="B40" s="4" t="s">
        <v>75</v>
      </c>
      <c r="D40">
        <v>1</v>
      </c>
      <c r="H40" s="10">
        <v>90</v>
      </c>
      <c r="I40" s="3">
        <f t="shared" si="6"/>
        <v>90</v>
      </c>
      <c r="J40" s="8"/>
      <c r="K40" s="8"/>
      <c r="L40" s="3">
        <f t="shared" si="5"/>
        <v>90</v>
      </c>
      <c r="M40" t="s">
        <v>76</v>
      </c>
      <c r="N40" s="6" t="s">
        <v>80</v>
      </c>
    </row>
    <row r="41" spans="1:15" x14ac:dyDescent="0.45">
      <c r="A41">
        <v>35</v>
      </c>
      <c r="B41" s="5" t="s">
        <v>52</v>
      </c>
      <c r="D41">
        <v>1</v>
      </c>
      <c r="H41" s="10">
        <v>200</v>
      </c>
      <c r="I41" s="3">
        <f t="shared" si="6"/>
        <v>200</v>
      </c>
      <c r="J41" s="8"/>
      <c r="K41" s="8"/>
      <c r="L41" s="3">
        <f t="shared" si="5"/>
        <v>200</v>
      </c>
      <c r="O41" t="s">
        <v>70</v>
      </c>
    </row>
    <row r="42" spans="1:15" x14ac:dyDescent="0.45">
      <c r="A42">
        <v>36</v>
      </c>
      <c r="B42" s="5" t="s">
        <v>53</v>
      </c>
      <c r="D42">
        <v>1</v>
      </c>
      <c r="H42" s="10"/>
      <c r="I42" s="8"/>
      <c r="J42" s="8"/>
      <c r="K42" s="8"/>
      <c r="L42" s="8"/>
    </row>
    <row r="43" spans="1:15" x14ac:dyDescent="0.45">
      <c r="A43">
        <v>37</v>
      </c>
      <c r="B43" s="5" t="s">
        <v>54</v>
      </c>
      <c r="D43">
        <v>3</v>
      </c>
      <c r="H43" s="10">
        <v>3</v>
      </c>
      <c r="I43" s="3">
        <f t="shared" si="6"/>
        <v>9</v>
      </c>
      <c r="J43" s="3"/>
      <c r="K43" s="3"/>
      <c r="L43" s="3">
        <f t="shared" si="5"/>
        <v>9</v>
      </c>
      <c r="M43" t="s">
        <v>68</v>
      </c>
      <c r="N43" s="6" t="s">
        <v>79</v>
      </c>
      <c r="O43" t="s">
        <v>86</v>
      </c>
    </row>
    <row r="44" spans="1:15" x14ac:dyDescent="0.45">
      <c r="A44">
        <v>38</v>
      </c>
      <c r="B44" s="5" t="s">
        <v>54</v>
      </c>
      <c r="D44">
        <v>1</v>
      </c>
      <c r="H44" s="10">
        <v>3</v>
      </c>
      <c r="I44" s="3">
        <f t="shared" si="6"/>
        <v>3</v>
      </c>
      <c r="J44" s="3"/>
      <c r="K44" s="3"/>
      <c r="L44" s="3">
        <f t="shared" si="5"/>
        <v>3</v>
      </c>
      <c r="M44" t="s">
        <v>68</v>
      </c>
      <c r="N44" s="6" t="s">
        <v>79</v>
      </c>
      <c r="O44" t="s">
        <v>85</v>
      </c>
    </row>
    <row r="45" spans="1:15" x14ac:dyDescent="0.45">
      <c r="A45">
        <v>39</v>
      </c>
      <c r="B45" s="5" t="s">
        <v>81</v>
      </c>
      <c r="D45">
        <v>7</v>
      </c>
      <c r="H45" s="10">
        <v>5</v>
      </c>
      <c r="I45" s="3">
        <f t="shared" si="6"/>
        <v>35</v>
      </c>
      <c r="J45" s="3"/>
      <c r="K45" s="3"/>
      <c r="L45" s="8">
        <f t="shared" si="5"/>
        <v>35</v>
      </c>
      <c r="N45" s="6" t="s">
        <v>79</v>
      </c>
    </row>
    <row r="46" spans="1:15" x14ac:dyDescent="0.45">
      <c r="A46">
        <v>40</v>
      </c>
      <c r="B46" s="5" t="s">
        <v>83</v>
      </c>
      <c r="D46">
        <v>1</v>
      </c>
      <c r="H46" s="10">
        <v>24.84</v>
      </c>
      <c r="I46" s="3">
        <f t="shared" si="6"/>
        <v>24.84</v>
      </c>
      <c r="J46" s="3"/>
      <c r="K46" s="3"/>
      <c r="L46" s="8">
        <f t="shared" si="5"/>
        <v>24.84</v>
      </c>
      <c r="M46" t="s">
        <v>87</v>
      </c>
      <c r="N46" s="6" t="s">
        <v>80</v>
      </c>
      <c r="O46" t="s">
        <v>84</v>
      </c>
    </row>
    <row r="47" spans="1:15" x14ac:dyDescent="0.45">
      <c r="L47" s="2"/>
    </row>
    <row r="48" spans="1:15" x14ac:dyDescent="0.45">
      <c r="A48" t="s">
        <v>55</v>
      </c>
      <c r="L48" s="2"/>
    </row>
    <row r="49" spans="1:15" x14ac:dyDescent="0.45">
      <c r="A49" t="s">
        <v>56</v>
      </c>
    </row>
    <row r="50" spans="1:15" x14ac:dyDescent="0.45">
      <c r="A50" t="s">
        <v>57</v>
      </c>
    </row>
    <row r="51" spans="1:15" x14ac:dyDescent="0.45">
      <c r="A51" t="s">
        <v>58</v>
      </c>
    </row>
    <row r="52" spans="1:15" x14ac:dyDescent="0.45">
      <c r="A52" t="s">
        <v>59</v>
      </c>
    </row>
    <row r="53" spans="1:15" x14ac:dyDescent="0.45">
      <c r="A53">
        <v>1</v>
      </c>
      <c r="B53" t="s">
        <v>60</v>
      </c>
      <c r="D53">
        <v>1</v>
      </c>
      <c r="I53">
        <v>37.15</v>
      </c>
    </row>
    <row r="54" spans="1:15" x14ac:dyDescent="0.45">
      <c r="A54">
        <v>2</v>
      </c>
      <c r="B54" t="s">
        <v>61</v>
      </c>
      <c r="D54">
        <v>1</v>
      </c>
      <c r="I54">
        <v>41.75</v>
      </c>
    </row>
    <row r="55" spans="1:15" x14ac:dyDescent="0.45">
      <c r="A55">
        <v>3</v>
      </c>
      <c r="B55" t="s">
        <v>62</v>
      </c>
      <c r="D55">
        <v>1</v>
      </c>
      <c r="I55">
        <v>71.900000000000006</v>
      </c>
      <c r="O55" t="s">
        <v>45</v>
      </c>
    </row>
  </sheetData>
  <mergeCells count="2">
    <mergeCell ref="L15:L20"/>
    <mergeCell ref="J22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O'Brien, John</cp:lastModifiedBy>
  <dcterms:created xsi:type="dcterms:W3CDTF">2026-03-07T01:04:47Z</dcterms:created>
  <dcterms:modified xsi:type="dcterms:W3CDTF">2026-04-02T18:05:51Z</dcterms:modified>
</cp:coreProperties>
</file>